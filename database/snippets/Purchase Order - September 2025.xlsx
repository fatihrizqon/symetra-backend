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mymac/Downloads/"/>
    </mc:Choice>
  </mc:AlternateContent>
  <xr:revisionPtr revIDLastSave="0" documentId="8_{9B2E277C-45B4-2047-BDCF-309D84806621}" xr6:coauthVersionLast="47" xr6:coauthVersionMax="47" xr10:uidLastSave="{00000000-0000-0000-0000-000000000000}"/>
  <bookViews>
    <workbookView xWindow="0" yWindow="500" windowWidth="33600" windowHeight="19440" xr2:uid="{00000000-000D-0000-FFFF-FFFF00000000}"/>
  </bookViews>
  <sheets>
    <sheet name="Septemb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" i="2" l="1"/>
  <c r="K56" i="2" s="1"/>
  <c r="H56" i="2"/>
  <c r="I55" i="2"/>
  <c r="K55" i="2" s="1"/>
  <c r="H55" i="2"/>
  <c r="I54" i="2"/>
  <c r="K54" i="2" s="1"/>
  <c r="H54" i="2"/>
  <c r="I53" i="2"/>
  <c r="K53" i="2" s="1"/>
  <c r="H53" i="2"/>
  <c r="I52" i="2"/>
  <c r="K52" i="2" s="1"/>
  <c r="H52" i="2"/>
  <c r="I51" i="2"/>
  <c r="K51" i="2" s="1"/>
  <c r="H51" i="2"/>
  <c r="I50" i="2"/>
  <c r="K50" i="2" s="1"/>
  <c r="H50" i="2"/>
  <c r="I49" i="2"/>
  <c r="K49" i="2" s="1"/>
  <c r="H49" i="2"/>
  <c r="I48" i="2"/>
  <c r="K48" i="2" s="1"/>
  <c r="H48" i="2"/>
  <c r="I47" i="2"/>
  <c r="K47" i="2" s="1"/>
  <c r="H47" i="2"/>
  <c r="I46" i="2"/>
  <c r="K46" i="2" s="1"/>
  <c r="H46" i="2"/>
  <c r="I45" i="2"/>
  <c r="K45" i="2" s="1"/>
  <c r="H45" i="2"/>
  <c r="I44" i="2"/>
  <c r="K44" i="2" s="1"/>
  <c r="H44" i="2"/>
  <c r="I43" i="2"/>
  <c r="K43" i="2" s="1"/>
  <c r="H43" i="2"/>
  <c r="I42" i="2"/>
  <c r="K42" i="2" s="1"/>
  <c r="H42" i="2"/>
  <c r="I41" i="2"/>
  <c r="K41" i="2" s="1"/>
  <c r="H41" i="2"/>
  <c r="I40" i="2"/>
  <c r="K40" i="2" s="1"/>
  <c r="H40" i="2"/>
  <c r="I39" i="2"/>
  <c r="K39" i="2" s="1"/>
  <c r="H39" i="2"/>
  <c r="I38" i="2"/>
  <c r="K38" i="2" s="1"/>
  <c r="H38" i="2"/>
  <c r="I37" i="2"/>
  <c r="K37" i="2" s="1"/>
  <c r="H37" i="2"/>
  <c r="I36" i="2"/>
  <c r="K36" i="2" s="1"/>
  <c r="H36" i="2"/>
  <c r="I35" i="2"/>
  <c r="K35" i="2" s="1"/>
  <c r="H35" i="2"/>
  <c r="I34" i="2"/>
  <c r="K34" i="2" s="1"/>
  <c r="H34" i="2"/>
  <c r="I33" i="2"/>
  <c r="K33" i="2" s="1"/>
  <c r="H33" i="2"/>
  <c r="I32" i="2"/>
  <c r="K32" i="2" s="1"/>
  <c r="H32" i="2"/>
  <c r="I31" i="2"/>
  <c r="K31" i="2" s="1"/>
  <c r="H31" i="2"/>
  <c r="I30" i="2"/>
  <c r="K30" i="2" s="1"/>
  <c r="H30" i="2"/>
  <c r="I29" i="2"/>
  <c r="K29" i="2" s="1"/>
  <c r="H29" i="2"/>
  <c r="I28" i="2"/>
  <c r="K28" i="2" s="1"/>
  <c r="H28" i="2"/>
  <c r="I27" i="2"/>
  <c r="K27" i="2" s="1"/>
  <c r="H27" i="2"/>
  <c r="I26" i="2"/>
  <c r="K26" i="2" s="1"/>
  <c r="H26" i="2"/>
  <c r="I25" i="2"/>
  <c r="K25" i="2" s="1"/>
  <c r="H25" i="2"/>
  <c r="I24" i="2"/>
  <c r="K24" i="2" s="1"/>
  <c r="H24" i="2"/>
  <c r="I23" i="2"/>
  <c r="K23" i="2" s="1"/>
  <c r="H23" i="2"/>
  <c r="I22" i="2"/>
  <c r="K22" i="2" s="1"/>
  <c r="H22" i="2"/>
  <c r="I21" i="2"/>
  <c r="K21" i="2" s="1"/>
  <c r="H21" i="2"/>
  <c r="I20" i="2"/>
  <c r="K20" i="2" s="1"/>
  <c r="H20" i="2"/>
  <c r="I19" i="2"/>
  <c r="K19" i="2" s="1"/>
  <c r="H19" i="2"/>
  <c r="I18" i="2"/>
  <c r="K18" i="2" s="1"/>
  <c r="H18" i="2"/>
  <c r="I17" i="2"/>
  <c r="K17" i="2" s="1"/>
  <c r="H17" i="2"/>
  <c r="I16" i="2"/>
  <c r="K16" i="2" s="1"/>
  <c r="H16" i="2"/>
  <c r="I15" i="2"/>
  <c r="K15" i="2" s="1"/>
  <c r="H15" i="2"/>
  <c r="I14" i="2"/>
  <c r="K14" i="2" s="1"/>
  <c r="H14" i="2"/>
  <c r="I13" i="2"/>
  <c r="K13" i="2" s="1"/>
  <c r="H13" i="2"/>
  <c r="I12" i="2"/>
  <c r="K12" i="2" s="1"/>
  <c r="H12" i="2"/>
  <c r="I11" i="2"/>
  <c r="K11" i="2" s="1"/>
  <c r="H11" i="2"/>
  <c r="I10" i="2"/>
  <c r="K10" i="2" s="1"/>
  <c r="H10" i="2"/>
  <c r="I9" i="2"/>
  <c r="K9" i="2" s="1"/>
  <c r="H9" i="2"/>
  <c r="I8" i="2"/>
  <c r="K8" i="2" s="1"/>
  <c r="H8" i="2"/>
  <c r="I7" i="2"/>
  <c r="K7" i="2" s="1"/>
  <c r="H7" i="2"/>
  <c r="I6" i="2"/>
  <c r="K6" i="2" s="1"/>
  <c r="H6" i="2"/>
  <c r="I5" i="2"/>
  <c r="K5" i="2" s="1"/>
  <c r="H5" i="2"/>
  <c r="I4" i="2"/>
  <c r="K4" i="2" s="1"/>
  <c r="H4" i="2"/>
  <c r="I3" i="2"/>
  <c r="K3" i="2" s="1"/>
  <c r="K2" i="2" s="1"/>
  <c r="H3" i="2"/>
  <c r="J2" i="2"/>
  <c r="I2" i="2"/>
  <c r="H2" i="2"/>
  <c r="E2" i="2"/>
</calcChain>
</file>

<file path=xl/sharedStrings.xml><?xml version="1.0" encoding="utf-8"?>
<sst xmlns="http://schemas.openxmlformats.org/spreadsheetml/2006/main" count="230" uniqueCount="54">
  <si>
    <t>No</t>
  </si>
  <si>
    <t>Customer</t>
  </si>
  <si>
    <t>Date</t>
  </si>
  <si>
    <t>Item</t>
  </si>
  <si>
    <t>Quantity</t>
  </si>
  <si>
    <t>Base Price</t>
  </si>
  <si>
    <t>Sell Price</t>
  </si>
  <si>
    <t>Total Base Price</t>
  </si>
  <si>
    <t>Total Sell Price</t>
  </si>
  <si>
    <t>Ops</t>
  </si>
  <si>
    <t>Profit</t>
  </si>
  <si>
    <t>Status</t>
  </si>
  <si>
    <t>Payment</t>
  </si>
  <si>
    <t>Note</t>
  </si>
  <si>
    <t>Dyah - Kadipiro</t>
  </si>
  <si>
    <t>Telur Bebek</t>
  </si>
  <si>
    <t>Telur Ayam</t>
  </si>
  <si>
    <t>Done</t>
  </si>
  <si>
    <t>Telur Asin</t>
  </si>
  <si>
    <t>CASH</t>
  </si>
  <si>
    <t>Astrini - Mlati</t>
  </si>
  <si>
    <t>Ida - SMPN 3 YK</t>
  </si>
  <si>
    <t>Shanti Bintaran</t>
  </si>
  <si>
    <t>Nila - DISPERTARU</t>
  </si>
  <si>
    <t>Qayyim - DISPERTARU</t>
  </si>
  <si>
    <t>Retno - DISPERTARU</t>
  </si>
  <si>
    <t>Tina - SMK Marsudi</t>
  </si>
  <si>
    <t>Shanti SMK</t>
  </si>
  <si>
    <t>Aris - DISPERTARU</t>
  </si>
  <si>
    <t>Astri - DISPERTARU</t>
  </si>
  <si>
    <t>Adnan - DISPERTARU</t>
  </si>
  <si>
    <t>Ayu DISPERTARU</t>
  </si>
  <si>
    <t>Citra (Threads)</t>
  </si>
  <si>
    <t>Desy (Threads)</t>
  </si>
  <si>
    <t>Apsari (Threads)</t>
  </si>
  <si>
    <t>Enca</t>
  </si>
  <si>
    <t>Wirosaban</t>
  </si>
  <si>
    <t>Mbak Nita</t>
  </si>
  <si>
    <t>Bulik Lili</t>
  </si>
  <si>
    <t>Gerby</t>
  </si>
  <si>
    <t>Mirul - DISPETARU</t>
  </si>
  <si>
    <t>Bu Rini -DISPETARU</t>
  </si>
  <si>
    <t>Irma  Tk.Elektronik - Threads</t>
  </si>
  <si>
    <t>Umi Pleret -Threads</t>
  </si>
  <si>
    <t>Telur Asin Mentah</t>
  </si>
  <si>
    <t>Amel -DISPETARU</t>
  </si>
  <si>
    <t>Evi Ngasem - Threads</t>
  </si>
  <si>
    <t>Aulia - Tahunan</t>
  </si>
  <si>
    <t>Fia - Dispetaru</t>
  </si>
  <si>
    <t>Mbak Putri - Semarang</t>
  </si>
  <si>
    <t>Cyntia</t>
  </si>
  <si>
    <t xml:space="preserve">Mbak Anti </t>
  </si>
  <si>
    <t>Khalista Wirobrajan</t>
  </si>
  <si>
    <t>Fita UPY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</si>
</sst>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[$Rp]#,##0.00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4" fontId="2" fillId="0" borderId="2" xfId="0" applyNumberFormat="1" applyFont="1" applyBorder="1"/>
    <xf numFmtId="165" fontId="2" fillId="0" borderId="2" xfId="0" applyNumberFormat="1" applyFont="1" applyBorder="1" applyAlignment="1">
      <alignment horizontal="right" vertical="center"/>
    </xf>
    <xf numFmtId="165" fontId="2" fillId="0" borderId="2" xfId="0" applyNumberFormat="1" applyFont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/>
    <xf numFmtId="164" fontId="4" fillId="0" borderId="2" xfId="0" applyNumberFormat="1" applyFont="1" applyBorder="1"/>
    <xf numFmtId="0" fontId="2" fillId="2" borderId="2" xfId="0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center" vertical="center"/>
    </xf>
    <xf numFmtId="165" fontId="2" fillId="0" borderId="2" xfId="0" applyNumberFormat="1" applyFont="1" applyBorder="1"/>
    <xf numFmtId="164" fontId="4" fillId="2" borderId="2" xfId="0" applyNumberFormat="1" applyFont="1" applyFill="1" applyBorder="1"/>
    <xf numFmtId="0" fontId="1" fillId="0" borderId="1" xfId="0" applyFont="1" applyBorder="1" applyAlignment="1">
      <alignment horizontal="center" vertical="center"/>
    </xf>
    <xf numFmtId="0" fontId="3" fillId="0" borderId="3" xfId="0" applyFont="1" applyBorder="1"/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56"/>
  <sheetViews>
    <sheetView tabSelected="1" workbookViewId="0">
      <pane ySplit="2" topLeftCell="A3" activePane="bottomLeft" state="frozen"/>
      <selection pane="bottomLeft" activeCell="K8" sqref="K8"/>
    </sheetView>
  </sheetViews>
  <sheetFormatPr baseColWidth="10" defaultColWidth="12.6640625" defaultRowHeight="15.75" customHeight="1" x14ac:dyDescent="0.15"/>
  <cols>
    <col min="1" max="1" width="3.1640625" customWidth="1"/>
    <col min="2" max="2" width="22.5" customWidth="1"/>
    <col min="3" max="3" width="9.1640625" bestFit="1" customWidth="1"/>
    <col min="4" max="4" width="21.1640625" customWidth="1"/>
    <col min="5" max="5" width="7.6640625" customWidth="1"/>
    <col min="6" max="6" width="11" customWidth="1"/>
    <col min="7" max="7" width="10.6640625" customWidth="1"/>
    <col min="8" max="8" width="14.6640625" bestFit="1" customWidth="1"/>
    <col min="9" max="9" width="13.83203125" bestFit="1" customWidth="1"/>
    <col min="10" max="10" width="11.5" customWidth="1"/>
    <col min="11" max="11" width="12.33203125" bestFit="1" customWidth="1"/>
    <col min="12" max="12" width="11.1640625" customWidth="1"/>
    <col min="13" max="13" width="18.83203125" customWidth="1"/>
    <col min="14" max="14" width="22.6640625" customWidth="1"/>
  </cols>
  <sheetData>
    <row r="1" spans="1:30" ht="15.75" customHeight="1" x14ac:dyDescent="0.15">
      <c r="A1" s="17" t="s">
        <v>0</v>
      </c>
      <c r="B1" s="17" t="s">
        <v>1</v>
      </c>
      <c r="C1" s="19" t="s">
        <v>2</v>
      </c>
      <c r="D1" s="17" t="s">
        <v>3</v>
      </c>
      <c r="E1" s="1" t="s">
        <v>4</v>
      </c>
      <c r="F1" s="20" t="s">
        <v>5</v>
      </c>
      <c r="G1" s="20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7" t="s">
        <v>11</v>
      </c>
      <c r="M1" s="17" t="s">
        <v>12</v>
      </c>
      <c r="N1" s="17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5.75" customHeight="1" x14ac:dyDescent="0.15">
      <c r="A2" s="18"/>
      <c r="B2" s="18"/>
      <c r="C2" s="18"/>
      <c r="D2" s="18"/>
      <c r="E2" s="1">
        <f>SUM(E3:E56)</f>
        <v>634</v>
      </c>
      <c r="F2" s="18"/>
      <c r="G2" s="18"/>
      <c r="H2" s="2">
        <f t="shared" ref="H2:K2" si="0">SUM(H3:H56)</f>
        <v>1374400</v>
      </c>
      <c r="I2" s="2">
        <f t="shared" si="0"/>
        <v>1872000</v>
      </c>
      <c r="J2" s="2">
        <f t="shared" si="0"/>
        <v>0</v>
      </c>
      <c r="K2" s="2">
        <f t="shared" si="0"/>
        <v>497600</v>
      </c>
      <c r="L2" s="18"/>
      <c r="M2" s="18"/>
      <c r="N2" s="18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5.75" customHeight="1" x14ac:dyDescent="0.15">
      <c r="A3" s="6">
        <v>1</v>
      </c>
      <c r="B3" s="6" t="s">
        <v>14</v>
      </c>
      <c r="C3" s="7">
        <v>45910</v>
      </c>
      <c r="D3" s="6" t="s">
        <v>15</v>
      </c>
      <c r="E3" s="5">
        <v>15</v>
      </c>
      <c r="F3" s="9">
        <v>2300</v>
      </c>
      <c r="G3" s="9">
        <v>3000</v>
      </c>
      <c r="H3" s="9">
        <f t="shared" ref="H3:H56" si="1">E3*F3</f>
        <v>34500</v>
      </c>
      <c r="I3" s="9">
        <f t="shared" ref="I3:I56" si="2">E3*G3</f>
        <v>45000</v>
      </c>
      <c r="J3" s="8">
        <v>0</v>
      </c>
      <c r="K3" s="8">
        <f t="shared" ref="K3:K56" si="3">I3-H3-J3</f>
        <v>10500</v>
      </c>
      <c r="L3" s="5" t="s">
        <v>17</v>
      </c>
      <c r="M3" s="5" t="s">
        <v>19</v>
      </c>
      <c r="N3" s="6"/>
    </row>
    <row r="4" spans="1:30" ht="15.75" customHeight="1" x14ac:dyDescent="0.15">
      <c r="A4" s="6">
        <v>2</v>
      </c>
      <c r="B4" s="6" t="s">
        <v>20</v>
      </c>
      <c r="C4" s="7">
        <v>45910</v>
      </c>
      <c r="D4" s="6" t="s">
        <v>15</v>
      </c>
      <c r="E4" s="5">
        <v>15</v>
      </c>
      <c r="F4" s="9">
        <v>2300</v>
      </c>
      <c r="G4" s="9">
        <v>3000</v>
      </c>
      <c r="H4" s="9">
        <f t="shared" si="1"/>
        <v>34500</v>
      </c>
      <c r="I4" s="9">
        <f t="shared" si="2"/>
        <v>45000</v>
      </c>
      <c r="J4" s="8">
        <v>0</v>
      </c>
      <c r="K4" s="8">
        <f t="shared" si="3"/>
        <v>10500</v>
      </c>
      <c r="L4" s="5" t="s">
        <v>17</v>
      </c>
      <c r="M4" s="5" t="s">
        <v>19</v>
      </c>
      <c r="N4" s="6"/>
    </row>
    <row r="5" spans="1:30" ht="15.75" customHeight="1" x14ac:dyDescent="0.15">
      <c r="A5" s="6">
        <v>3</v>
      </c>
      <c r="B5" s="6" t="s">
        <v>21</v>
      </c>
      <c r="C5" s="7">
        <v>45910</v>
      </c>
      <c r="D5" s="6" t="s">
        <v>15</v>
      </c>
      <c r="E5" s="5">
        <v>15</v>
      </c>
      <c r="F5" s="9">
        <v>2300</v>
      </c>
      <c r="G5" s="9">
        <v>3000</v>
      </c>
      <c r="H5" s="9">
        <f t="shared" si="1"/>
        <v>34500</v>
      </c>
      <c r="I5" s="9">
        <f t="shared" si="2"/>
        <v>45000</v>
      </c>
      <c r="J5" s="8">
        <v>0</v>
      </c>
      <c r="K5" s="8">
        <f t="shared" si="3"/>
        <v>10500</v>
      </c>
      <c r="L5" s="5" t="s">
        <v>17</v>
      </c>
      <c r="M5" s="5" t="s">
        <v>19</v>
      </c>
      <c r="N5" s="6"/>
    </row>
    <row r="6" spans="1:30" ht="15.75" customHeight="1" x14ac:dyDescent="0.15">
      <c r="A6" s="6">
        <v>4</v>
      </c>
      <c r="B6" s="6" t="s">
        <v>22</v>
      </c>
      <c r="C6" s="7">
        <v>45912</v>
      </c>
      <c r="D6" s="6" t="s">
        <v>15</v>
      </c>
      <c r="E6" s="5">
        <v>10</v>
      </c>
      <c r="F6" s="9">
        <v>2300</v>
      </c>
      <c r="G6" s="9">
        <v>3000</v>
      </c>
      <c r="H6" s="9">
        <f t="shared" si="1"/>
        <v>23000</v>
      </c>
      <c r="I6" s="9">
        <f t="shared" si="2"/>
        <v>30000</v>
      </c>
      <c r="J6" s="8">
        <v>0</v>
      </c>
      <c r="K6" s="8">
        <f t="shared" si="3"/>
        <v>7000</v>
      </c>
      <c r="L6" s="5" t="s">
        <v>17</v>
      </c>
      <c r="M6" s="5" t="s">
        <v>19</v>
      </c>
      <c r="N6" s="6"/>
    </row>
    <row r="7" spans="1:30" ht="15.75" customHeight="1" x14ac:dyDescent="0.15">
      <c r="A7" s="6">
        <v>5</v>
      </c>
      <c r="B7" s="6" t="s">
        <v>23</v>
      </c>
      <c r="C7" s="7">
        <v>45912</v>
      </c>
      <c r="D7" s="6" t="s">
        <v>15</v>
      </c>
      <c r="E7" s="5">
        <v>10</v>
      </c>
      <c r="F7" s="9">
        <v>2300</v>
      </c>
      <c r="G7" s="9">
        <v>3000</v>
      </c>
      <c r="H7" s="9">
        <f t="shared" si="1"/>
        <v>23000</v>
      </c>
      <c r="I7" s="9">
        <f t="shared" si="2"/>
        <v>30000</v>
      </c>
      <c r="J7" s="8">
        <v>0</v>
      </c>
      <c r="K7" s="8">
        <f t="shared" si="3"/>
        <v>7000</v>
      </c>
      <c r="L7" s="5" t="s">
        <v>17</v>
      </c>
      <c r="M7" s="5" t="s">
        <v>19</v>
      </c>
      <c r="N7" s="6"/>
    </row>
    <row r="8" spans="1:30" ht="15.75" customHeight="1" x14ac:dyDescent="0.15">
      <c r="A8" s="6">
        <v>6</v>
      </c>
      <c r="B8" s="6" t="s">
        <v>24</v>
      </c>
      <c r="C8" s="7">
        <v>45912</v>
      </c>
      <c r="D8" s="6" t="s">
        <v>15</v>
      </c>
      <c r="E8" s="5">
        <v>15</v>
      </c>
      <c r="F8" s="9">
        <v>2300</v>
      </c>
      <c r="G8" s="9">
        <v>3000</v>
      </c>
      <c r="H8" s="9">
        <f t="shared" si="1"/>
        <v>34500</v>
      </c>
      <c r="I8" s="9">
        <f t="shared" si="2"/>
        <v>45000</v>
      </c>
      <c r="J8" s="8">
        <v>0</v>
      </c>
      <c r="K8" s="8">
        <f t="shared" si="3"/>
        <v>10500</v>
      </c>
      <c r="L8" s="5" t="s">
        <v>17</v>
      </c>
      <c r="M8" s="5" t="s">
        <v>19</v>
      </c>
      <c r="N8" s="6"/>
    </row>
    <row r="9" spans="1:30" ht="15.75" customHeight="1" x14ac:dyDescent="0.15">
      <c r="A9" s="6">
        <v>7</v>
      </c>
      <c r="B9" s="6" t="s">
        <v>25</v>
      </c>
      <c r="C9" s="7">
        <v>45912</v>
      </c>
      <c r="D9" s="6" t="s">
        <v>15</v>
      </c>
      <c r="E9" s="5">
        <v>10</v>
      </c>
      <c r="F9" s="9">
        <v>2300</v>
      </c>
      <c r="G9" s="9">
        <v>3000</v>
      </c>
      <c r="H9" s="9">
        <f t="shared" si="1"/>
        <v>23000</v>
      </c>
      <c r="I9" s="9">
        <f t="shared" si="2"/>
        <v>30000</v>
      </c>
      <c r="J9" s="8">
        <v>0</v>
      </c>
      <c r="K9" s="8">
        <f t="shared" si="3"/>
        <v>7000</v>
      </c>
      <c r="L9" s="5" t="s">
        <v>17</v>
      </c>
      <c r="M9" s="5" t="s">
        <v>19</v>
      </c>
      <c r="N9" s="6"/>
    </row>
    <row r="10" spans="1:30" ht="15.75" customHeight="1" x14ac:dyDescent="0.15">
      <c r="A10" s="6">
        <v>8</v>
      </c>
      <c r="B10" s="6" t="s">
        <v>26</v>
      </c>
      <c r="C10" s="7">
        <v>45912</v>
      </c>
      <c r="D10" s="6" t="s">
        <v>15</v>
      </c>
      <c r="E10" s="5">
        <v>20</v>
      </c>
      <c r="F10" s="9">
        <v>2300</v>
      </c>
      <c r="G10" s="9">
        <v>3000</v>
      </c>
      <c r="H10" s="9">
        <f t="shared" si="1"/>
        <v>46000</v>
      </c>
      <c r="I10" s="9">
        <f t="shared" si="2"/>
        <v>60000</v>
      </c>
      <c r="J10" s="8">
        <v>0</v>
      </c>
      <c r="K10" s="8">
        <f t="shared" si="3"/>
        <v>14000</v>
      </c>
      <c r="L10" s="5" t="s">
        <v>17</v>
      </c>
      <c r="M10" s="5" t="s">
        <v>19</v>
      </c>
      <c r="N10" s="6"/>
    </row>
    <row r="11" spans="1:30" ht="15.75" customHeight="1" x14ac:dyDescent="0.15">
      <c r="A11" s="6">
        <v>9</v>
      </c>
      <c r="B11" s="6" t="s">
        <v>27</v>
      </c>
      <c r="C11" s="7">
        <v>45916</v>
      </c>
      <c r="D11" s="6" t="s">
        <v>16</v>
      </c>
      <c r="E11" s="5">
        <v>10</v>
      </c>
      <c r="F11" s="9">
        <v>1638</v>
      </c>
      <c r="G11" s="9">
        <v>2500</v>
      </c>
      <c r="H11" s="9">
        <f t="shared" si="1"/>
        <v>16380</v>
      </c>
      <c r="I11" s="9">
        <f t="shared" si="2"/>
        <v>25000</v>
      </c>
      <c r="J11" s="8">
        <v>0</v>
      </c>
      <c r="K11" s="8">
        <f t="shared" si="3"/>
        <v>8620</v>
      </c>
      <c r="L11" s="5" t="s">
        <v>17</v>
      </c>
      <c r="M11" s="5" t="s">
        <v>19</v>
      </c>
      <c r="N11" s="6"/>
    </row>
    <row r="12" spans="1:30" ht="15.75" customHeight="1" x14ac:dyDescent="0.15">
      <c r="A12" s="6">
        <v>10</v>
      </c>
      <c r="B12" s="6" t="s">
        <v>27</v>
      </c>
      <c r="C12" s="7">
        <v>45916</v>
      </c>
      <c r="D12" s="6" t="s">
        <v>18</v>
      </c>
      <c r="E12" s="5">
        <v>5</v>
      </c>
      <c r="F12" s="9">
        <v>3200</v>
      </c>
      <c r="G12" s="9">
        <v>4000</v>
      </c>
      <c r="H12" s="9">
        <f t="shared" si="1"/>
        <v>16000</v>
      </c>
      <c r="I12" s="9">
        <f t="shared" si="2"/>
        <v>20000</v>
      </c>
      <c r="J12" s="8">
        <v>0</v>
      </c>
      <c r="K12" s="8">
        <f t="shared" si="3"/>
        <v>4000</v>
      </c>
      <c r="L12" s="5" t="s">
        <v>17</v>
      </c>
      <c r="M12" s="5" t="s">
        <v>19</v>
      </c>
      <c r="N12" s="6"/>
    </row>
    <row r="13" spans="1:30" ht="15.75" customHeight="1" x14ac:dyDescent="0.15">
      <c r="A13" s="6">
        <v>11</v>
      </c>
      <c r="B13" s="6" t="s">
        <v>28</v>
      </c>
      <c r="C13" s="7">
        <v>45916</v>
      </c>
      <c r="D13" s="6" t="s">
        <v>18</v>
      </c>
      <c r="E13" s="5">
        <v>10</v>
      </c>
      <c r="F13" s="9">
        <v>3200</v>
      </c>
      <c r="G13" s="9">
        <v>4000</v>
      </c>
      <c r="H13" s="9">
        <f t="shared" si="1"/>
        <v>32000</v>
      </c>
      <c r="I13" s="9">
        <f t="shared" si="2"/>
        <v>40000</v>
      </c>
      <c r="J13" s="8">
        <v>0</v>
      </c>
      <c r="K13" s="8">
        <f t="shared" si="3"/>
        <v>8000</v>
      </c>
      <c r="L13" s="5" t="s">
        <v>17</v>
      </c>
      <c r="M13" s="5" t="s">
        <v>19</v>
      </c>
      <c r="N13" s="6"/>
    </row>
    <row r="14" spans="1:30" ht="15.75" customHeight="1" x14ac:dyDescent="0.15">
      <c r="A14" s="6">
        <v>12</v>
      </c>
      <c r="B14" s="6" t="s">
        <v>29</v>
      </c>
      <c r="C14" s="7">
        <v>45916</v>
      </c>
      <c r="D14" s="6" t="s">
        <v>16</v>
      </c>
      <c r="E14" s="5">
        <v>15</v>
      </c>
      <c r="F14" s="9">
        <v>1638</v>
      </c>
      <c r="G14" s="9">
        <v>2500</v>
      </c>
      <c r="H14" s="9">
        <f t="shared" si="1"/>
        <v>24570</v>
      </c>
      <c r="I14" s="9">
        <f t="shared" si="2"/>
        <v>37500</v>
      </c>
      <c r="J14" s="8">
        <v>0</v>
      </c>
      <c r="K14" s="8">
        <f t="shared" si="3"/>
        <v>12930</v>
      </c>
      <c r="L14" s="5" t="s">
        <v>17</v>
      </c>
      <c r="M14" s="5" t="s">
        <v>19</v>
      </c>
      <c r="N14" s="6"/>
    </row>
    <row r="15" spans="1:30" ht="15.75" customHeight="1" x14ac:dyDescent="0.15">
      <c r="A15" s="6">
        <v>13</v>
      </c>
      <c r="B15" s="6" t="s">
        <v>30</v>
      </c>
      <c r="C15" s="7">
        <v>45916</v>
      </c>
      <c r="D15" s="6" t="s">
        <v>18</v>
      </c>
      <c r="E15" s="5">
        <v>10</v>
      </c>
      <c r="F15" s="9">
        <v>3200</v>
      </c>
      <c r="G15" s="9">
        <v>4000</v>
      </c>
      <c r="H15" s="9">
        <f t="shared" si="1"/>
        <v>32000</v>
      </c>
      <c r="I15" s="9">
        <f t="shared" si="2"/>
        <v>40000</v>
      </c>
      <c r="J15" s="8">
        <v>0</v>
      </c>
      <c r="K15" s="8">
        <f t="shared" si="3"/>
        <v>8000</v>
      </c>
      <c r="L15" s="5" t="s">
        <v>17</v>
      </c>
      <c r="M15" s="5" t="s">
        <v>19</v>
      </c>
      <c r="N15" s="6"/>
    </row>
    <row r="16" spans="1:30" ht="15.75" customHeight="1" x14ac:dyDescent="0.15">
      <c r="A16" s="6">
        <v>14</v>
      </c>
      <c r="B16" s="6" t="s">
        <v>22</v>
      </c>
      <c r="C16" s="7">
        <v>45916</v>
      </c>
      <c r="D16" s="6" t="s">
        <v>16</v>
      </c>
      <c r="E16" s="5">
        <v>10</v>
      </c>
      <c r="F16" s="9">
        <v>1638</v>
      </c>
      <c r="G16" s="9">
        <v>2500</v>
      </c>
      <c r="H16" s="9">
        <f t="shared" si="1"/>
        <v>16380</v>
      </c>
      <c r="I16" s="9">
        <f t="shared" si="2"/>
        <v>25000</v>
      </c>
      <c r="J16" s="8">
        <v>0</v>
      </c>
      <c r="K16" s="8">
        <f t="shared" si="3"/>
        <v>8620</v>
      </c>
      <c r="L16" s="5" t="s">
        <v>17</v>
      </c>
      <c r="M16" s="5" t="s">
        <v>19</v>
      </c>
      <c r="N16" s="6"/>
    </row>
    <row r="17" spans="1:30" ht="15.75" customHeight="1" x14ac:dyDescent="0.15">
      <c r="A17" s="6">
        <v>15</v>
      </c>
      <c r="B17" s="6" t="s">
        <v>21</v>
      </c>
      <c r="C17" s="7">
        <v>45918</v>
      </c>
      <c r="D17" s="6" t="s">
        <v>16</v>
      </c>
      <c r="E17" s="5">
        <v>20</v>
      </c>
      <c r="F17" s="9">
        <v>1638</v>
      </c>
      <c r="G17" s="9">
        <v>2500</v>
      </c>
      <c r="H17" s="9">
        <f t="shared" si="1"/>
        <v>32760</v>
      </c>
      <c r="I17" s="9">
        <f t="shared" si="2"/>
        <v>50000</v>
      </c>
      <c r="J17" s="8">
        <v>0</v>
      </c>
      <c r="K17" s="8">
        <f t="shared" si="3"/>
        <v>17240</v>
      </c>
      <c r="L17" s="5" t="s">
        <v>17</v>
      </c>
      <c r="M17" s="5" t="s">
        <v>19</v>
      </c>
      <c r="N17" s="6"/>
    </row>
    <row r="18" spans="1:30" ht="15.75" customHeight="1" x14ac:dyDescent="0.15">
      <c r="A18" s="6">
        <v>16</v>
      </c>
      <c r="B18" s="6" t="s">
        <v>31</v>
      </c>
      <c r="C18" s="7">
        <v>45918</v>
      </c>
      <c r="D18" s="6" t="s">
        <v>16</v>
      </c>
      <c r="E18" s="5">
        <v>10</v>
      </c>
      <c r="F18" s="9">
        <v>1638</v>
      </c>
      <c r="G18" s="9">
        <v>2500</v>
      </c>
      <c r="H18" s="9">
        <f t="shared" si="1"/>
        <v>16380</v>
      </c>
      <c r="I18" s="9">
        <f t="shared" si="2"/>
        <v>25000</v>
      </c>
      <c r="J18" s="8">
        <v>0</v>
      </c>
      <c r="K18" s="8">
        <f t="shared" si="3"/>
        <v>8620</v>
      </c>
      <c r="L18" s="5" t="s">
        <v>17</v>
      </c>
      <c r="M18" s="5" t="s">
        <v>19</v>
      </c>
      <c r="N18" s="6"/>
    </row>
    <row r="19" spans="1:30" ht="15.75" customHeight="1" x14ac:dyDescent="0.15">
      <c r="A19" s="6">
        <v>17</v>
      </c>
      <c r="B19" s="6" t="s">
        <v>32</v>
      </c>
      <c r="C19" s="12">
        <v>45919</v>
      </c>
      <c r="D19" s="6" t="s">
        <v>16</v>
      </c>
      <c r="E19" s="5">
        <v>10</v>
      </c>
      <c r="F19" s="9">
        <v>1638</v>
      </c>
      <c r="G19" s="9">
        <v>2500</v>
      </c>
      <c r="H19" s="9">
        <f t="shared" si="1"/>
        <v>16380</v>
      </c>
      <c r="I19" s="9">
        <f t="shared" si="2"/>
        <v>25000</v>
      </c>
      <c r="J19" s="8">
        <v>0</v>
      </c>
      <c r="K19" s="8">
        <f t="shared" si="3"/>
        <v>8620</v>
      </c>
      <c r="L19" s="5" t="s">
        <v>17</v>
      </c>
      <c r="M19" s="5" t="s">
        <v>19</v>
      </c>
      <c r="N19" s="6"/>
    </row>
    <row r="20" spans="1:30" ht="15.75" customHeight="1" x14ac:dyDescent="0.15">
      <c r="A20" s="6">
        <v>18</v>
      </c>
      <c r="B20" s="6" t="s">
        <v>32</v>
      </c>
      <c r="C20" s="12">
        <v>45919</v>
      </c>
      <c r="D20" s="6" t="s">
        <v>15</v>
      </c>
      <c r="E20" s="5">
        <v>10</v>
      </c>
      <c r="F20" s="9">
        <v>2300</v>
      </c>
      <c r="G20" s="9">
        <v>3000</v>
      </c>
      <c r="H20" s="9">
        <f t="shared" si="1"/>
        <v>23000</v>
      </c>
      <c r="I20" s="9">
        <f t="shared" si="2"/>
        <v>30000</v>
      </c>
      <c r="J20" s="8">
        <v>0</v>
      </c>
      <c r="K20" s="8">
        <f t="shared" si="3"/>
        <v>7000</v>
      </c>
      <c r="L20" s="5" t="s">
        <v>17</v>
      </c>
      <c r="M20" s="5" t="s">
        <v>19</v>
      </c>
      <c r="N20" s="6"/>
    </row>
    <row r="21" spans="1:30" ht="15.75" customHeight="1" x14ac:dyDescent="0.15">
      <c r="A21" s="6">
        <v>19</v>
      </c>
      <c r="B21" s="6" t="s">
        <v>33</v>
      </c>
      <c r="C21" s="12">
        <v>45919</v>
      </c>
      <c r="D21" s="6" t="s">
        <v>16</v>
      </c>
      <c r="E21" s="5">
        <v>30</v>
      </c>
      <c r="F21" s="9">
        <v>1638</v>
      </c>
      <c r="G21" s="9">
        <v>2500</v>
      </c>
      <c r="H21" s="9">
        <f t="shared" si="1"/>
        <v>49140</v>
      </c>
      <c r="I21" s="9">
        <f t="shared" si="2"/>
        <v>75000</v>
      </c>
      <c r="J21" s="8">
        <v>0</v>
      </c>
      <c r="K21" s="8">
        <f t="shared" si="3"/>
        <v>25860</v>
      </c>
      <c r="L21" s="5" t="s">
        <v>17</v>
      </c>
      <c r="M21" s="5" t="s">
        <v>19</v>
      </c>
      <c r="N21" s="6"/>
    </row>
    <row r="22" spans="1:30" ht="15.75" customHeight="1" x14ac:dyDescent="0.15">
      <c r="A22" s="6">
        <v>20</v>
      </c>
      <c r="B22" s="6" t="s">
        <v>33</v>
      </c>
      <c r="C22" s="12">
        <v>45919</v>
      </c>
      <c r="D22" s="6" t="s">
        <v>15</v>
      </c>
      <c r="E22" s="5">
        <v>10</v>
      </c>
      <c r="F22" s="9">
        <v>2300</v>
      </c>
      <c r="G22" s="9">
        <v>3000</v>
      </c>
      <c r="H22" s="9">
        <f t="shared" si="1"/>
        <v>23000</v>
      </c>
      <c r="I22" s="9">
        <f t="shared" si="2"/>
        <v>30000</v>
      </c>
      <c r="J22" s="8">
        <v>0</v>
      </c>
      <c r="K22" s="8">
        <f t="shared" si="3"/>
        <v>7000</v>
      </c>
      <c r="L22" s="5" t="s">
        <v>17</v>
      </c>
      <c r="M22" s="5" t="s">
        <v>19</v>
      </c>
      <c r="N22" s="6"/>
    </row>
    <row r="23" spans="1:30" ht="15.75" customHeight="1" x14ac:dyDescent="0.15">
      <c r="A23" s="6">
        <v>21</v>
      </c>
      <c r="B23" s="6" t="s">
        <v>34</v>
      </c>
      <c r="C23" s="12">
        <v>45919</v>
      </c>
      <c r="D23" s="6" t="s">
        <v>16</v>
      </c>
      <c r="E23" s="5">
        <v>10</v>
      </c>
      <c r="F23" s="9">
        <v>1638</v>
      </c>
      <c r="G23" s="9">
        <v>2500</v>
      </c>
      <c r="H23" s="9">
        <f t="shared" si="1"/>
        <v>16380</v>
      </c>
      <c r="I23" s="9">
        <f t="shared" si="2"/>
        <v>25000</v>
      </c>
      <c r="J23" s="8">
        <v>0</v>
      </c>
      <c r="K23" s="8">
        <f t="shared" si="3"/>
        <v>8620</v>
      </c>
      <c r="L23" s="5" t="s">
        <v>17</v>
      </c>
      <c r="M23" s="5" t="s">
        <v>19</v>
      </c>
      <c r="N23" s="6"/>
    </row>
    <row r="24" spans="1:30" ht="15.75" customHeight="1" x14ac:dyDescent="0.15">
      <c r="A24" s="6">
        <v>22</v>
      </c>
      <c r="B24" s="6" t="s">
        <v>34</v>
      </c>
      <c r="C24" s="12">
        <v>45919</v>
      </c>
      <c r="D24" s="6" t="s">
        <v>15</v>
      </c>
      <c r="E24" s="5">
        <v>10</v>
      </c>
      <c r="F24" s="9">
        <v>2300</v>
      </c>
      <c r="G24" s="9">
        <v>3000</v>
      </c>
      <c r="H24" s="9">
        <f t="shared" si="1"/>
        <v>23000</v>
      </c>
      <c r="I24" s="9">
        <f t="shared" si="2"/>
        <v>30000</v>
      </c>
      <c r="J24" s="8">
        <v>0</v>
      </c>
      <c r="K24" s="8">
        <f t="shared" si="3"/>
        <v>7000</v>
      </c>
      <c r="L24" s="5" t="s">
        <v>17</v>
      </c>
      <c r="M24" s="5" t="s">
        <v>19</v>
      </c>
      <c r="N24" s="6"/>
    </row>
    <row r="25" spans="1:30" ht="15.75" customHeight="1" x14ac:dyDescent="0.15">
      <c r="A25" s="6">
        <v>23</v>
      </c>
      <c r="B25" s="6" t="s">
        <v>35</v>
      </c>
      <c r="C25" s="12">
        <v>45919</v>
      </c>
      <c r="D25" s="6" t="s">
        <v>16</v>
      </c>
      <c r="E25" s="5">
        <v>15</v>
      </c>
      <c r="F25" s="9">
        <v>1638</v>
      </c>
      <c r="G25" s="9">
        <v>2500</v>
      </c>
      <c r="H25" s="9">
        <f t="shared" si="1"/>
        <v>24570</v>
      </c>
      <c r="I25" s="9">
        <f t="shared" si="2"/>
        <v>37500</v>
      </c>
      <c r="J25" s="8">
        <v>0</v>
      </c>
      <c r="K25" s="8">
        <f t="shared" si="3"/>
        <v>12930</v>
      </c>
      <c r="L25" s="5" t="s">
        <v>17</v>
      </c>
      <c r="M25" s="5" t="s">
        <v>19</v>
      </c>
      <c r="N25" s="6"/>
    </row>
    <row r="26" spans="1:30" ht="15.75" customHeight="1" x14ac:dyDescent="0.15">
      <c r="A26" s="6">
        <v>24</v>
      </c>
      <c r="B26" s="6" t="s">
        <v>36</v>
      </c>
      <c r="C26" s="12">
        <v>45919</v>
      </c>
      <c r="D26" s="6" t="s">
        <v>15</v>
      </c>
      <c r="E26" s="5">
        <v>4</v>
      </c>
      <c r="F26" s="9">
        <v>2300</v>
      </c>
      <c r="G26" s="9">
        <v>3000</v>
      </c>
      <c r="H26" s="9">
        <f t="shared" si="1"/>
        <v>9200</v>
      </c>
      <c r="I26" s="9">
        <f t="shared" si="2"/>
        <v>12000</v>
      </c>
      <c r="J26" s="8">
        <v>0</v>
      </c>
      <c r="K26" s="8">
        <f t="shared" si="3"/>
        <v>2800</v>
      </c>
      <c r="L26" s="5" t="s">
        <v>17</v>
      </c>
      <c r="M26" s="5" t="s">
        <v>19</v>
      </c>
      <c r="N26" s="6"/>
    </row>
    <row r="27" spans="1:30" ht="15.75" customHeight="1" x14ac:dyDescent="0.15">
      <c r="A27" s="11">
        <v>25</v>
      </c>
      <c r="B27" s="11" t="s">
        <v>22</v>
      </c>
      <c r="C27" s="16">
        <v>45922</v>
      </c>
      <c r="D27" s="11" t="s">
        <v>16</v>
      </c>
      <c r="E27" s="13">
        <v>15</v>
      </c>
      <c r="F27" s="14">
        <v>1638</v>
      </c>
      <c r="G27" s="14">
        <v>2500</v>
      </c>
      <c r="H27" s="14">
        <f t="shared" si="1"/>
        <v>24570</v>
      </c>
      <c r="I27" s="14">
        <f t="shared" si="2"/>
        <v>37500</v>
      </c>
      <c r="J27" s="8">
        <v>0</v>
      </c>
      <c r="K27" s="8">
        <f t="shared" si="3"/>
        <v>12930</v>
      </c>
      <c r="L27" s="13" t="s">
        <v>17</v>
      </c>
      <c r="M27" s="5" t="s">
        <v>19</v>
      </c>
      <c r="N27" s="11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15">
      <c r="A28" s="6">
        <v>26</v>
      </c>
      <c r="B28" s="11" t="s">
        <v>37</v>
      </c>
      <c r="C28" s="12">
        <v>45922</v>
      </c>
      <c r="D28" s="6" t="s">
        <v>16</v>
      </c>
      <c r="E28" s="5">
        <v>15</v>
      </c>
      <c r="F28" s="9">
        <v>1638</v>
      </c>
      <c r="G28" s="9">
        <v>2500</v>
      </c>
      <c r="H28" s="9">
        <f t="shared" si="1"/>
        <v>24570</v>
      </c>
      <c r="I28" s="9">
        <f t="shared" si="2"/>
        <v>37500</v>
      </c>
      <c r="J28" s="8">
        <v>0</v>
      </c>
      <c r="K28" s="8">
        <f t="shared" si="3"/>
        <v>12930</v>
      </c>
      <c r="L28" s="5" t="s">
        <v>17</v>
      </c>
      <c r="M28" s="5" t="s">
        <v>19</v>
      </c>
      <c r="N28" s="6"/>
    </row>
    <row r="29" spans="1:30" ht="15.75" customHeight="1" x14ac:dyDescent="0.15">
      <c r="A29" s="6">
        <v>27</v>
      </c>
      <c r="B29" s="11" t="s">
        <v>38</v>
      </c>
      <c r="C29" s="12">
        <v>45922</v>
      </c>
      <c r="D29" s="6" t="s">
        <v>16</v>
      </c>
      <c r="E29" s="5">
        <v>10</v>
      </c>
      <c r="F29" s="9">
        <v>1661</v>
      </c>
      <c r="G29" s="9">
        <v>2500</v>
      </c>
      <c r="H29" s="9">
        <f t="shared" si="1"/>
        <v>16610</v>
      </c>
      <c r="I29" s="9">
        <f t="shared" si="2"/>
        <v>25000</v>
      </c>
      <c r="J29" s="8">
        <v>0</v>
      </c>
      <c r="K29" s="8">
        <f t="shared" si="3"/>
        <v>8390</v>
      </c>
      <c r="L29" s="5" t="s">
        <v>17</v>
      </c>
      <c r="M29" s="5" t="s">
        <v>19</v>
      </c>
      <c r="N29" s="6"/>
    </row>
    <row r="30" spans="1:30" ht="15.75" customHeight="1" x14ac:dyDescent="0.15">
      <c r="A30" s="6">
        <v>28</v>
      </c>
      <c r="B30" s="11" t="s">
        <v>38</v>
      </c>
      <c r="C30" s="12">
        <v>45922</v>
      </c>
      <c r="D30" s="6" t="s">
        <v>16</v>
      </c>
      <c r="E30" s="5">
        <v>10</v>
      </c>
      <c r="F30" s="9">
        <v>1661</v>
      </c>
      <c r="G30" s="9">
        <v>2500</v>
      </c>
      <c r="H30" s="9">
        <f t="shared" si="1"/>
        <v>16610</v>
      </c>
      <c r="I30" s="9">
        <f t="shared" si="2"/>
        <v>25000</v>
      </c>
      <c r="J30" s="8">
        <v>0</v>
      </c>
      <c r="K30" s="8">
        <f t="shared" si="3"/>
        <v>8390</v>
      </c>
      <c r="L30" s="5" t="s">
        <v>17</v>
      </c>
      <c r="M30" s="5" t="s">
        <v>19</v>
      </c>
      <c r="N30" s="6"/>
    </row>
    <row r="31" spans="1:30" ht="15.75" customHeight="1" x14ac:dyDescent="0.15">
      <c r="A31" s="6">
        <v>29</v>
      </c>
      <c r="B31" s="11" t="s">
        <v>39</v>
      </c>
      <c r="C31" s="12">
        <v>45922</v>
      </c>
      <c r="D31" s="6" t="s">
        <v>16</v>
      </c>
      <c r="E31" s="5">
        <v>10</v>
      </c>
      <c r="F31" s="9">
        <v>1661</v>
      </c>
      <c r="G31" s="9">
        <v>2500</v>
      </c>
      <c r="H31" s="9">
        <f t="shared" si="1"/>
        <v>16610</v>
      </c>
      <c r="I31" s="9">
        <f t="shared" si="2"/>
        <v>25000</v>
      </c>
      <c r="J31" s="8">
        <v>0</v>
      </c>
      <c r="K31" s="8">
        <f t="shared" si="3"/>
        <v>8390</v>
      </c>
      <c r="L31" s="5" t="s">
        <v>17</v>
      </c>
      <c r="M31" s="5" t="s">
        <v>19</v>
      </c>
      <c r="N31" s="6"/>
    </row>
    <row r="32" spans="1:30" ht="15.75" customHeight="1" x14ac:dyDescent="0.15">
      <c r="A32" s="6">
        <v>30</v>
      </c>
      <c r="B32" s="11" t="s">
        <v>39</v>
      </c>
      <c r="C32" s="12">
        <v>45922</v>
      </c>
      <c r="D32" s="6" t="s">
        <v>15</v>
      </c>
      <c r="E32" s="5">
        <v>10</v>
      </c>
      <c r="F32" s="9">
        <v>2300</v>
      </c>
      <c r="G32" s="9">
        <v>3000</v>
      </c>
      <c r="H32" s="9">
        <f t="shared" si="1"/>
        <v>23000</v>
      </c>
      <c r="I32" s="9">
        <f t="shared" si="2"/>
        <v>30000</v>
      </c>
      <c r="J32" s="8">
        <v>0</v>
      </c>
      <c r="K32" s="8">
        <f t="shared" si="3"/>
        <v>7000</v>
      </c>
      <c r="L32" s="5" t="s">
        <v>17</v>
      </c>
      <c r="M32" s="5" t="s">
        <v>19</v>
      </c>
      <c r="N32" s="6"/>
    </row>
    <row r="33" spans="1:14" ht="15.75" customHeight="1" x14ac:dyDescent="0.15">
      <c r="A33" s="6">
        <v>31</v>
      </c>
      <c r="B33" s="11" t="s">
        <v>40</v>
      </c>
      <c r="C33" s="12">
        <v>45922</v>
      </c>
      <c r="D33" s="6" t="s">
        <v>16</v>
      </c>
      <c r="E33" s="5">
        <v>10</v>
      </c>
      <c r="F33" s="9">
        <v>1661</v>
      </c>
      <c r="G33" s="9">
        <v>2500</v>
      </c>
      <c r="H33" s="9">
        <f t="shared" si="1"/>
        <v>16610</v>
      </c>
      <c r="I33" s="9">
        <f t="shared" si="2"/>
        <v>25000</v>
      </c>
      <c r="J33" s="8">
        <v>0</v>
      </c>
      <c r="K33" s="8">
        <f t="shared" si="3"/>
        <v>8390</v>
      </c>
      <c r="L33" s="5" t="s">
        <v>17</v>
      </c>
      <c r="M33" s="5" t="s">
        <v>19</v>
      </c>
      <c r="N33" s="15"/>
    </row>
    <row r="34" spans="1:14" ht="15.75" customHeight="1" x14ac:dyDescent="0.15">
      <c r="A34" s="6">
        <v>32</v>
      </c>
      <c r="B34" s="11" t="s">
        <v>40</v>
      </c>
      <c r="C34" s="12">
        <v>45922</v>
      </c>
      <c r="D34" s="6" t="s">
        <v>15</v>
      </c>
      <c r="E34" s="5">
        <v>10</v>
      </c>
      <c r="F34" s="9">
        <v>2300</v>
      </c>
      <c r="G34" s="9">
        <v>3000</v>
      </c>
      <c r="H34" s="9">
        <f t="shared" si="1"/>
        <v>23000</v>
      </c>
      <c r="I34" s="9">
        <f t="shared" si="2"/>
        <v>30000</v>
      </c>
      <c r="J34" s="8">
        <v>0</v>
      </c>
      <c r="K34" s="8">
        <f t="shared" si="3"/>
        <v>7000</v>
      </c>
      <c r="L34" s="5" t="s">
        <v>17</v>
      </c>
      <c r="M34" s="5" t="s">
        <v>19</v>
      </c>
      <c r="N34" s="6"/>
    </row>
    <row r="35" spans="1:14" ht="15.75" customHeight="1" x14ac:dyDescent="0.15">
      <c r="A35" s="6">
        <v>33</v>
      </c>
      <c r="B35" s="11" t="s">
        <v>41</v>
      </c>
      <c r="C35" s="12">
        <v>45922</v>
      </c>
      <c r="D35" s="6" t="s">
        <v>15</v>
      </c>
      <c r="E35" s="5">
        <v>15</v>
      </c>
      <c r="F35" s="9">
        <v>2300</v>
      </c>
      <c r="G35" s="9">
        <v>3000</v>
      </c>
      <c r="H35" s="9">
        <f t="shared" si="1"/>
        <v>34500</v>
      </c>
      <c r="I35" s="9">
        <f t="shared" si="2"/>
        <v>45000</v>
      </c>
      <c r="J35" s="8">
        <v>0</v>
      </c>
      <c r="K35" s="8">
        <f t="shared" si="3"/>
        <v>10500</v>
      </c>
      <c r="L35" s="5" t="s">
        <v>17</v>
      </c>
      <c r="M35" s="5" t="s">
        <v>19</v>
      </c>
      <c r="N35" s="6"/>
    </row>
    <row r="36" spans="1:14" ht="15.75" customHeight="1" x14ac:dyDescent="0.15">
      <c r="A36" s="6">
        <v>34</v>
      </c>
      <c r="B36" s="11" t="s">
        <v>42</v>
      </c>
      <c r="C36" s="12">
        <v>45923</v>
      </c>
      <c r="D36" s="6" t="s">
        <v>16</v>
      </c>
      <c r="E36" s="5">
        <v>15</v>
      </c>
      <c r="F36" s="9">
        <v>1661</v>
      </c>
      <c r="G36" s="9">
        <v>2500</v>
      </c>
      <c r="H36" s="9">
        <f t="shared" si="1"/>
        <v>24915</v>
      </c>
      <c r="I36" s="9">
        <f t="shared" si="2"/>
        <v>37500</v>
      </c>
      <c r="J36" s="8">
        <v>0</v>
      </c>
      <c r="K36" s="8">
        <f t="shared" si="3"/>
        <v>12585</v>
      </c>
      <c r="L36" s="5" t="s">
        <v>17</v>
      </c>
      <c r="M36" s="5" t="s">
        <v>19</v>
      </c>
      <c r="N36" s="6"/>
    </row>
    <row r="37" spans="1:14" ht="15.75" customHeight="1" x14ac:dyDescent="0.15">
      <c r="A37" s="6">
        <v>35</v>
      </c>
      <c r="B37" s="11" t="s">
        <v>42</v>
      </c>
      <c r="C37" s="12">
        <v>45923</v>
      </c>
      <c r="D37" s="6" t="s">
        <v>15</v>
      </c>
      <c r="E37" s="5">
        <v>5</v>
      </c>
      <c r="F37" s="9">
        <v>2300</v>
      </c>
      <c r="G37" s="9">
        <v>3000</v>
      </c>
      <c r="H37" s="9">
        <f t="shared" si="1"/>
        <v>11500</v>
      </c>
      <c r="I37" s="9">
        <f t="shared" si="2"/>
        <v>15000</v>
      </c>
      <c r="J37" s="8">
        <v>0</v>
      </c>
      <c r="K37" s="8">
        <f t="shared" si="3"/>
        <v>3500</v>
      </c>
      <c r="L37" s="5" t="s">
        <v>17</v>
      </c>
      <c r="M37" s="5" t="s">
        <v>19</v>
      </c>
      <c r="N37" s="6"/>
    </row>
    <row r="38" spans="1:14" ht="15.75" customHeight="1" x14ac:dyDescent="0.15">
      <c r="A38" s="6">
        <v>36</v>
      </c>
      <c r="B38" s="11" t="s">
        <v>36</v>
      </c>
      <c r="C38" s="12">
        <v>45924</v>
      </c>
      <c r="D38" s="6" t="s">
        <v>15</v>
      </c>
      <c r="E38" s="5">
        <v>10</v>
      </c>
      <c r="F38" s="9">
        <v>2300</v>
      </c>
      <c r="G38" s="9">
        <v>3000</v>
      </c>
      <c r="H38" s="9">
        <f t="shared" si="1"/>
        <v>23000</v>
      </c>
      <c r="I38" s="9">
        <f t="shared" si="2"/>
        <v>30000</v>
      </c>
      <c r="J38" s="8">
        <v>0</v>
      </c>
      <c r="K38" s="8">
        <f t="shared" si="3"/>
        <v>7000</v>
      </c>
      <c r="L38" s="5" t="s">
        <v>17</v>
      </c>
      <c r="M38" s="5" t="s">
        <v>19</v>
      </c>
      <c r="N38" s="6"/>
    </row>
    <row r="39" spans="1:14" ht="15.75" customHeight="1" x14ac:dyDescent="0.15">
      <c r="A39" s="6">
        <v>37</v>
      </c>
      <c r="B39" s="11" t="s">
        <v>40</v>
      </c>
      <c r="C39" s="12">
        <v>45924</v>
      </c>
      <c r="D39" s="6" t="s">
        <v>18</v>
      </c>
      <c r="E39" s="5">
        <v>10</v>
      </c>
      <c r="F39" s="9">
        <v>3200</v>
      </c>
      <c r="G39" s="9">
        <v>4000</v>
      </c>
      <c r="H39" s="9">
        <f t="shared" si="1"/>
        <v>32000</v>
      </c>
      <c r="I39" s="9">
        <f t="shared" si="2"/>
        <v>40000</v>
      </c>
      <c r="J39" s="8">
        <v>0</v>
      </c>
      <c r="K39" s="8">
        <f t="shared" si="3"/>
        <v>8000</v>
      </c>
      <c r="L39" s="5" t="s">
        <v>17</v>
      </c>
      <c r="M39" s="5" t="s">
        <v>19</v>
      </c>
      <c r="N39" s="6"/>
    </row>
    <row r="40" spans="1:14" ht="15.75" customHeight="1" x14ac:dyDescent="0.15">
      <c r="A40" s="6">
        <v>38</v>
      </c>
      <c r="B40" s="11" t="s">
        <v>34</v>
      </c>
      <c r="C40" s="12">
        <v>45924</v>
      </c>
      <c r="D40" s="6" t="s">
        <v>18</v>
      </c>
      <c r="E40" s="5">
        <v>10</v>
      </c>
      <c r="F40" s="9">
        <v>3200</v>
      </c>
      <c r="G40" s="9">
        <v>4000</v>
      </c>
      <c r="H40" s="9">
        <f t="shared" si="1"/>
        <v>32000</v>
      </c>
      <c r="I40" s="9">
        <f t="shared" si="2"/>
        <v>40000</v>
      </c>
      <c r="J40" s="8">
        <v>0</v>
      </c>
      <c r="K40" s="8">
        <f t="shared" si="3"/>
        <v>8000</v>
      </c>
      <c r="L40" s="5" t="s">
        <v>17</v>
      </c>
      <c r="M40" s="5" t="s">
        <v>19</v>
      </c>
      <c r="N40" s="6"/>
    </row>
    <row r="41" spans="1:14" ht="15.75" customHeight="1" x14ac:dyDescent="0.15">
      <c r="A41" s="6">
        <v>39</v>
      </c>
      <c r="B41" s="11" t="s">
        <v>43</v>
      </c>
      <c r="C41" s="12">
        <v>45924</v>
      </c>
      <c r="D41" s="6" t="s">
        <v>18</v>
      </c>
      <c r="E41" s="5">
        <v>10</v>
      </c>
      <c r="F41" s="9">
        <v>3200</v>
      </c>
      <c r="G41" s="9">
        <v>4000</v>
      </c>
      <c r="H41" s="9">
        <f t="shared" si="1"/>
        <v>32000</v>
      </c>
      <c r="I41" s="9">
        <f t="shared" si="2"/>
        <v>40000</v>
      </c>
      <c r="J41" s="8">
        <v>0</v>
      </c>
      <c r="K41" s="8">
        <f t="shared" si="3"/>
        <v>8000</v>
      </c>
      <c r="L41" s="5" t="s">
        <v>17</v>
      </c>
      <c r="M41" s="5" t="s">
        <v>19</v>
      </c>
      <c r="N41" s="6"/>
    </row>
    <row r="42" spans="1:14" ht="15.75" customHeight="1" x14ac:dyDescent="0.15">
      <c r="A42" s="6">
        <v>40</v>
      </c>
      <c r="B42" s="11" t="s">
        <v>43</v>
      </c>
      <c r="C42" s="12">
        <v>45924</v>
      </c>
      <c r="D42" s="6" t="s">
        <v>15</v>
      </c>
      <c r="E42" s="5">
        <v>5</v>
      </c>
      <c r="F42" s="9">
        <v>3200</v>
      </c>
      <c r="G42" s="9">
        <v>4000</v>
      </c>
      <c r="H42" s="9">
        <f t="shared" si="1"/>
        <v>16000</v>
      </c>
      <c r="I42" s="9">
        <f t="shared" si="2"/>
        <v>20000</v>
      </c>
      <c r="J42" s="8">
        <v>0</v>
      </c>
      <c r="K42" s="8">
        <f t="shared" si="3"/>
        <v>4000</v>
      </c>
      <c r="L42" s="5" t="s">
        <v>17</v>
      </c>
      <c r="M42" s="5" t="s">
        <v>19</v>
      </c>
      <c r="N42" s="6"/>
    </row>
    <row r="43" spans="1:14" ht="15.75" customHeight="1" x14ac:dyDescent="0.15">
      <c r="A43" s="6">
        <v>41</v>
      </c>
      <c r="B43" s="11" t="s">
        <v>45</v>
      </c>
      <c r="C43" s="12">
        <v>45924</v>
      </c>
      <c r="D43" s="6" t="s">
        <v>44</v>
      </c>
      <c r="E43" s="5">
        <v>15</v>
      </c>
      <c r="F43" s="9">
        <v>3200</v>
      </c>
      <c r="G43" s="9">
        <v>4000</v>
      </c>
      <c r="H43" s="9">
        <f t="shared" si="1"/>
        <v>48000</v>
      </c>
      <c r="I43" s="9">
        <f t="shared" si="2"/>
        <v>60000</v>
      </c>
      <c r="J43" s="8">
        <v>0</v>
      </c>
      <c r="K43" s="8">
        <f t="shared" si="3"/>
        <v>12000</v>
      </c>
      <c r="L43" s="5" t="s">
        <v>17</v>
      </c>
      <c r="M43" s="5" t="s">
        <v>19</v>
      </c>
      <c r="N43" s="6"/>
    </row>
    <row r="44" spans="1:14" ht="15.75" customHeight="1" x14ac:dyDescent="0.15">
      <c r="A44" s="6">
        <v>42</v>
      </c>
      <c r="B44" s="11" t="s">
        <v>46</v>
      </c>
      <c r="C44" s="12">
        <v>45924</v>
      </c>
      <c r="D44" s="6" t="s">
        <v>18</v>
      </c>
      <c r="E44" s="5">
        <v>10</v>
      </c>
      <c r="F44" s="9">
        <v>3200</v>
      </c>
      <c r="G44" s="9">
        <v>4000</v>
      </c>
      <c r="H44" s="9">
        <f t="shared" si="1"/>
        <v>32000</v>
      </c>
      <c r="I44" s="9">
        <f t="shared" si="2"/>
        <v>40000</v>
      </c>
      <c r="J44" s="8">
        <v>0</v>
      </c>
      <c r="K44" s="8">
        <f t="shared" si="3"/>
        <v>8000</v>
      </c>
      <c r="L44" s="5" t="s">
        <v>17</v>
      </c>
      <c r="M44" s="5" t="s">
        <v>19</v>
      </c>
      <c r="N44" s="6"/>
    </row>
    <row r="45" spans="1:14" ht="15.75" customHeight="1" x14ac:dyDescent="0.15">
      <c r="A45" s="6">
        <v>43</v>
      </c>
      <c r="B45" s="11" t="s">
        <v>47</v>
      </c>
      <c r="C45" s="12">
        <v>45924</v>
      </c>
      <c r="D45" s="6" t="s">
        <v>16</v>
      </c>
      <c r="E45" s="5">
        <v>10</v>
      </c>
      <c r="F45" s="9">
        <v>1661</v>
      </c>
      <c r="G45" s="9">
        <v>2500</v>
      </c>
      <c r="H45" s="9">
        <f t="shared" si="1"/>
        <v>16610</v>
      </c>
      <c r="I45" s="9">
        <f t="shared" si="2"/>
        <v>25000</v>
      </c>
      <c r="J45" s="8">
        <v>0</v>
      </c>
      <c r="K45" s="8">
        <f t="shared" si="3"/>
        <v>8390</v>
      </c>
      <c r="L45" s="5" t="s">
        <v>17</v>
      </c>
      <c r="M45" s="5" t="s">
        <v>19</v>
      </c>
      <c r="N45" s="6"/>
    </row>
    <row r="46" spans="1:14" ht="15.75" customHeight="1" x14ac:dyDescent="0.15">
      <c r="A46" s="6">
        <v>44</v>
      </c>
      <c r="B46" s="11" t="s">
        <v>47</v>
      </c>
      <c r="C46" s="12">
        <v>45924</v>
      </c>
      <c r="D46" s="6" t="s">
        <v>15</v>
      </c>
      <c r="E46" s="5">
        <v>15</v>
      </c>
      <c r="F46" s="9">
        <v>2300</v>
      </c>
      <c r="G46" s="9">
        <v>3000</v>
      </c>
      <c r="H46" s="9">
        <f t="shared" si="1"/>
        <v>34500</v>
      </c>
      <c r="I46" s="9">
        <f t="shared" si="2"/>
        <v>45000</v>
      </c>
      <c r="J46" s="8">
        <v>0</v>
      </c>
      <c r="K46" s="8">
        <f t="shared" si="3"/>
        <v>10500</v>
      </c>
      <c r="L46" s="5" t="s">
        <v>17</v>
      </c>
      <c r="M46" s="5" t="s">
        <v>19</v>
      </c>
      <c r="N46" s="6"/>
    </row>
    <row r="47" spans="1:14" ht="15.75" customHeight="1" x14ac:dyDescent="0.15">
      <c r="A47" s="6">
        <v>45</v>
      </c>
      <c r="B47" s="11" t="s">
        <v>48</v>
      </c>
      <c r="C47" s="12">
        <v>45924</v>
      </c>
      <c r="D47" s="6" t="s">
        <v>15</v>
      </c>
      <c r="E47" s="5">
        <v>10</v>
      </c>
      <c r="F47" s="9">
        <v>2300</v>
      </c>
      <c r="G47" s="9">
        <v>3000</v>
      </c>
      <c r="H47" s="9">
        <f t="shared" si="1"/>
        <v>23000</v>
      </c>
      <c r="I47" s="9">
        <f t="shared" si="2"/>
        <v>30000</v>
      </c>
      <c r="J47" s="8">
        <v>0</v>
      </c>
      <c r="K47" s="8">
        <f t="shared" si="3"/>
        <v>7000</v>
      </c>
      <c r="L47" s="5" t="s">
        <v>17</v>
      </c>
      <c r="M47" s="5" t="s">
        <v>19</v>
      </c>
      <c r="N47" s="6"/>
    </row>
    <row r="48" spans="1:14" ht="15.75" customHeight="1" x14ac:dyDescent="0.15">
      <c r="A48" s="6">
        <v>45</v>
      </c>
      <c r="B48" s="11" t="s">
        <v>49</v>
      </c>
      <c r="C48" s="12">
        <v>45925</v>
      </c>
      <c r="D48" s="6" t="s">
        <v>18</v>
      </c>
      <c r="E48" s="5">
        <v>20</v>
      </c>
      <c r="F48" s="9">
        <v>3200</v>
      </c>
      <c r="G48" s="9">
        <v>4000</v>
      </c>
      <c r="H48" s="9">
        <f t="shared" si="1"/>
        <v>64000</v>
      </c>
      <c r="I48" s="9">
        <f t="shared" si="2"/>
        <v>80000</v>
      </c>
      <c r="J48" s="8">
        <v>0</v>
      </c>
      <c r="K48" s="8">
        <f t="shared" si="3"/>
        <v>16000</v>
      </c>
      <c r="L48" s="5" t="s">
        <v>17</v>
      </c>
      <c r="M48" s="5" t="s">
        <v>19</v>
      </c>
      <c r="N48" s="6"/>
    </row>
    <row r="49" spans="1:14" ht="15.75" customHeight="1" x14ac:dyDescent="0.15">
      <c r="A49" s="6">
        <v>46</v>
      </c>
      <c r="B49" s="11" t="s">
        <v>49</v>
      </c>
      <c r="C49" s="12">
        <v>45925</v>
      </c>
      <c r="D49" s="6" t="s">
        <v>18</v>
      </c>
      <c r="E49" s="5">
        <v>5</v>
      </c>
      <c r="F49" s="9">
        <v>3200</v>
      </c>
      <c r="G49" s="9">
        <v>4000</v>
      </c>
      <c r="H49" s="9">
        <f t="shared" si="1"/>
        <v>16000</v>
      </c>
      <c r="I49" s="9">
        <f t="shared" si="2"/>
        <v>20000</v>
      </c>
      <c r="J49" s="8">
        <v>0</v>
      </c>
      <c r="K49" s="8">
        <f t="shared" si="3"/>
        <v>4000</v>
      </c>
      <c r="L49" s="5" t="s">
        <v>17</v>
      </c>
      <c r="M49" s="5" t="s">
        <v>19</v>
      </c>
      <c r="N49" s="6"/>
    </row>
    <row r="50" spans="1:14" ht="15.75" customHeight="1" x14ac:dyDescent="0.15">
      <c r="A50" s="6">
        <v>47</v>
      </c>
      <c r="B50" s="6" t="s">
        <v>50</v>
      </c>
      <c r="C50" s="12">
        <v>45925</v>
      </c>
      <c r="D50" s="6" t="s">
        <v>16</v>
      </c>
      <c r="E50" s="5">
        <v>30</v>
      </c>
      <c r="F50" s="9">
        <v>1661</v>
      </c>
      <c r="G50" s="9">
        <v>2500</v>
      </c>
      <c r="H50" s="9">
        <f t="shared" si="1"/>
        <v>49830</v>
      </c>
      <c r="I50" s="9">
        <f t="shared" si="2"/>
        <v>75000</v>
      </c>
      <c r="J50" s="8">
        <v>0</v>
      </c>
      <c r="K50" s="8">
        <f t="shared" si="3"/>
        <v>25170</v>
      </c>
      <c r="L50" s="5" t="s">
        <v>17</v>
      </c>
      <c r="M50" s="5" t="s">
        <v>19</v>
      </c>
      <c r="N50" s="6"/>
    </row>
    <row r="51" spans="1:14" ht="15.75" customHeight="1" x14ac:dyDescent="0.15">
      <c r="A51" s="6">
        <v>48</v>
      </c>
      <c r="B51" s="6" t="s">
        <v>51</v>
      </c>
      <c r="C51" s="12">
        <v>45926</v>
      </c>
      <c r="D51" s="6" t="s">
        <v>16</v>
      </c>
      <c r="E51" s="5">
        <v>15</v>
      </c>
      <c r="F51" s="9">
        <v>1653</v>
      </c>
      <c r="G51" s="9">
        <v>2500</v>
      </c>
      <c r="H51" s="9">
        <f t="shared" si="1"/>
        <v>24795</v>
      </c>
      <c r="I51" s="9">
        <f t="shared" si="2"/>
        <v>37500</v>
      </c>
      <c r="J51" s="8">
        <v>0</v>
      </c>
      <c r="K51" s="8">
        <f t="shared" si="3"/>
        <v>12705</v>
      </c>
      <c r="L51" s="5" t="s">
        <v>17</v>
      </c>
      <c r="M51" s="5" t="s">
        <v>19</v>
      </c>
      <c r="N51" s="6"/>
    </row>
    <row r="52" spans="1:14" ht="15.75" customHeight="1" x14ac:dyDescent="0.15">
      <c r="A52" s="6">
        <v>49</v>
      </c>
      <c r="B52" s="6" t="s">
        <v>52</v>
      </c>
      <c r="C52" s="7">
        <v>45930</v>
      </c>
      <c r="D52" s="6" t="s">
        <v>16</v>
      </c>
      <c r="E52" s="5">
        <v>5</v>
      </c>
      <c r="F52" s="9">
        <v>1653</v>
      </c>
      <c r="G52" s="9">
        <v>2500</v>
      </c>
      <c r="H52" s="9">
        <f t="shared" si="1"/>
        <v>8265</v>
      </c>
      <c r="I52" s="9">
        <f t="shared" si="2"/>
        <v>12500</v>
      </c>
      <c r="J52" s="8">
        <v>0</v>
      </c>
      <c r="K52" s="8">
        <f t="shared" si="3"/>
        <v>4235</v>
      </c>
      <c r="L52" s="5" t="s">
        <v>17</v>
      </c>
      <c r="M52" s="5" t="s">
        <v>19</v>
      </c>
      <c r="N52" s="6"/>
    </row>
    <row r="53" spans="1:14" ht="15.75" customHeight="1" x14ac:dyDescent="0.15">
      <c r="A53" s="6">
        <v>50</v>
      </c>
      <c r="B53" s="6" t="s">
        <v>52</v>
      </c>
      <c r="C53" s="7">
        <v>45930</v>
      </c>
      <c r="D53" s="6" t="s">
        <v>15</v>
      </c>
      <c r="E53" s="5">
        <v>5</v>
      </c>
      <c r="F53" s="9">
        <v>2300</v>
      </c>
      <c r="G53" s="9">
        <v>3000</v>
      </c>
      <c r="H53" s="9">
        <f t="shared" si="1"/>
        <v>11500</v>
      </c>
      <c r="I53" s="9">
        <f t="shared" si="2"/>
        <v>15000</v>
      </c>
      <c r="J53" s="8">
        <v>0</v>
      </c>
      <c r="K53" s="8">
        <f t="shared" si="3"/>
        <v>3500</v>
      </c>
      <c r="L53" s="5" t="s">
        <v>17</v>
      </c>
      <c r="M53" s="5" t="s">
        <v>19</v>
      </c>
      <c r="N53" s="6"/>
    </row>
    <row r="54" spans="1:14" ht="15.75" customHeight="1" x14ac:dyDescent="0.15">
      <c r="A54" s="6">
        <v>51</v>
      </c>
      <c r="B54" s="6" t="s">
        <v>53</v>
      </c>
      <c r="C54" s="7">
        <v>45930</v>
      </c>
      <c r="D54" s="6" t="s">
        <v>16</v>
      </c>
      <c r="E54" s="5">
        <v>5</v>
      </c>
      <c r="F54" s="9">
        <v>1653</v>
      </c>
      <c r="G54" s="9">
        <v>2500</v>
      </c>
      <c r="H54" s="9">
        <f t="shared" si="1"/>
        <v>8265</v>
      </c>
      <c r="I54" s="9">
        <f t="shared" si="2"/>
        <v>12500</v>
      </c>
      <c r="J54" s="8">
        <v>0</v>
      </c>
      <c r="K54" s="8">
        <f t="shared" si="3"/>
        <v>4235</v>
      </c>
      <c r="L54" s="5" t="s">
        <v>17</v>
      </c>
      <c r="M54" s="5" t="s">
        <v>19</v>
      </c>
      <c r="N54" s="6"/>
    </row>
    <row r="55" spans="1:14" ht="15.75" customHeight="1" x14ac:dyDescent="0.15">
      <c r="A55" s="6">
        <v>52</v>
      </c>
      <c r="B55" s="6" t="s">
        <v>53</v>
      </c>
      <c r="C55" s="7">
        <v>45930</v>
      </c>
      <c r="D55" s="6" t="s">
        <v>15</v>
      </c>
      <c r="E55" s="5">
        <v>5</v>
      </c>
      <c r="F55" s="9">
        <v>2300</v>
      </c>
      <c r="G55" s="9">
        <v>3000</v>
      </c>
      <c r="H55" s="9">
        <f t="shared" si="1"/>
        <v>11500</v>
      </c>
      <c r="I55" s="9">
        <f t="shared" si="2"/>
        <v>15000</v>
      </c>
      <c r="J55" s="8">
        <v>0</v>
      </c>
      <c r="K55" s="8">
        <f t="shared" si="3"/>
        <v>3500</v>
      </c>
      <c r="L55" s="5" t="s">
        <v>17</v>
      </c>
      <c r="M55" s="5" t="s">
        <v>19</v>
      </c>
      <c r="N55" s="6"/>
    </row>
    <row r="56" spans="1:14" ht="15.75" customHeight="1" x14ac:dyDescent="0.15">
      <c r="A56" s="6">
        <v>53</v>
      </c>
      <c r="B56" s="11" t="s">
        <v>41</v>
      </c>
      <c r="C56" s="7">
        <v>45930</v>
      </c>
      <c r="D56" s="6" t="s">
        <v>15</v>
      </c>
      <c r="E56" s="5">
        <v>15</v>
      </c>
      <c r="F56" s="9">
        <v>2300</v>
      </c>
      <c r="G56" s="9">
        <v>3000</v>
      </c>
      <c r="H56" s="9">
        <f t="shared" si="1"/>
        <v>34500</v>
      </c>
      <c r="I56" s="9">
        <f t="shared" si="2"/>
        <v>45000</v>
      </c>
      <c r="J56" s="8">
        <v>0</v>
      </c>
      <c r="K56" s="8">
        <f t="shared" si="3"/>
        <v>10500</v>
      </c>
      <c r="L56" s="5" t="s">
        <v>17</v>
      </c>
      <c r="M56" s="5" t="s">
        <v>19</v>
      </c>
      <c r="N56" s="6"/>
    </row>
  </sheetData>
  <mergeCells count="9">
    <mergeCell ref="M1:M2"/>
    <mergeCell ref="N1:N2"/>
    <mergeCell ref="A1:A2"/>
    <mergeCell ref="B1:B2"/>
    <mergeCell ref="C1:C2"/>
    <mergeCell ref="D1:D2"/>
    <mergeCell ref="F1:F2"/>
    <mergeCell ref="G1:G2"/>
    <mergeCell ref="L1:L2"/>
  </mergeCells>
  <dataValidations count="4">
    <dataValidation type="list" allowBlank="1" showErrorMessage="1" sqref="D3:D56" xr:uid="{00000000-0002-0000-0100-000000000000}">
      <formula1>"Telur Bebek,Telur Ayam,Telur Asin,Telur Asin Mentah"</formula1>
    </dataValidation>
    <dataValidation type="list" allowBlank="1" showErrorMessage="1" sqref="M56" xr:uid="{00000000-0002-0000-0100-000001000000}">
      <formula1>"BPD,BCA,MANDIRI,BELUM BAYAR,CASH"</formula1>
    </dataValidation>
    <dataValidation type="list" allowBlank="1" showErrorMessage="1" sqref="L3:L56" xr:uid="{00000000-0002-0000-0100-000002000000}">
      <formula1>"Done,Proses"</formula1>
    </dataValidation>
    <dataValidation type="list" allowBlank="1" showErrorMessage="1" sqref="M3:M55" xr:uid="{00000000-0002-0000-0100-000003000000}">
      <formula1>"BPD,BCA,MANDIRI,CASH"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Fatih Rizqon</cp:lastModifiedBy>
  <dcterms:created xsi:type="dcterms:W3CDTF">2026-08-02T02:55:26Z</dcterms:created>
  <dcterms:modified xsi:type="dcterms:W3CDTF">2026-08-02T02:55:26Z</dcterms:modified>
</cp:coreProperties>
</file>